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ima1-my.sharepoint.com/personal/x25pratyushb_iima_ac_in/Documents/IIMA PGPX/Courses/Term5/SMDA/SMDA Projects/Term Paper/"/>
    </mc:Choice>
  </mc:AlternateContent>
  <xr:revisionPtr revIDLastSave="13" documentId="11_00E6D56E0938DFC8EF1DDC01C41F11E9A6D5B2BD" xr6:coauthVersionLast="47" xr6:coauthVersionMax="47" xr10:uidLastSave="{D5A08F42-EB83-4262-963E-EB22B38A8CAB}"/>
  <bookViews>
    <workbookView xWindow="-120" yWindow="-120" windowWidth="29040" windowHeight="15720" tabRatio="500" xr2:uid="{00000000-000D-0000-FFFF-FFFF00000000}"/>
  </bookViews>
  <sheets>
    <sheet name="Brand Sample" sheetId="1" r:id="rId1"/>
    <sheet name="Scoring Rubric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L51" i="1"/>
  <c r="L41" i="1"/>
  <c r="L49" i="1"/>
  <c r="L33" i="1"/>
  <c r="L7" i="1"/>
  <c r="L35" i="1"/>
  <c r="L44" i="1"/>
  <c r="L8" i="1"/>
  <c r="L43" i="1"/>
  <c r="L50" i="1"/>
  <c r="L42" i="1"/>
  <c r="L34" i="1"/>
  <c r="L40" i="1"/>
  <c r="L32" i="1"/>
  <c r="L31" i="1"/>
  <c r="L30" i="1"/>
  <c r="L29" i="1"/>
  <c r="L3" i="1"/>
  <c r="L20" i="1"/>
  <c r="L19" i="1"/>
  <c r="L14" i="1"/>
  <c r="L36" i="1"/>
  <c r="L45" i="1"/>
  <c r="L13" i="1"/>
  <c r="L24" i="1"/>
  <c r="L23" i="1"/>
  <c r="L12" i="1"/>
  <c r="L11" i="1"/>
  <c r="L4" i="1"/>
  <c r="L22" i="1"/>
  <c r="L28" i="1"/>
  <c r="L17" i="1"/>
  <c r="L47" i="1"/>
  <c r="L5" i="1"/>
  <c r="L39" i="1"/>
  <c r="L27" i="1"/>
  <c r="L26" i="1"/>
  <c r="L16" i="1"/>
  <c r="L38" i="1"/>
  <c r="L37" i="1"/>
  <c r="L48" i="1"/>
  <c r="L46" i="1"/>
  <c r="L21" i="1"/>
  <c r="L25" i="1"/>
  <c r="L10" i="1"/>
  <c r="L18" i="1"/>
  <c r="L9" i="1"/>
  <c r="L15" i="1"/>
  <c r="L6" i="1"/>
  <c r="L2" i="1"/>
</calcChain>
</file>

<file path=xl/sharedStrings.xml><?xml version="1.0" encoding="utf-8"?>
<sst xmlns="http://schemas.openxmlformats.org/spreadsheetml/2006/main" count="375" uniqueCount="227">
  <si>
    <t>#</t>
  </si>
  <si>
    <t>Brand Name</t>
  </si>
  <si>
    <t>Category</t>
  </si>
  <si>
    <t>Instagram Handle</t>
  </si>
  <si>
    <t>~Followers</t>
  </si>
  <si>
    <t>Content Style</t>
  </si>
  <si>
    <t>Follower Size
Score (1–5)</t>
  </si>
  <si>
    <t>Content Variety
Score (1–5)</t>
  </si>
  <si>
    <t>SME Fit
Score (1–5)</t>
  </si>
  <si>
    <t>Category Balance
Score (1–5)</t>
  </si>
  <si>
    <t>Social Activity
Score (1–5)</t>
  </si>
  <si>
    <t>Total Score
(/25)</t>
  </si>
  <si>
    <t>Relevance Tier</t>
  </si>
  <si>
    <t>Suta</t>
  </si>
  <si>
    <t>Fashion</t>
  </si>
  <si>
    <t>@suta_bombay</t>
  </si>
  <si>
    <t>737K</t>
  </si>
  <si>
    <t>Founder-led storytelling, ethnic narratives</t>
  </si>
  <si>
    <t>★★★ Core Sample</t>
  </si>
  <si>
    <t>Nua</t>
  </si>
  <si>
    <t>Health &amp; Wellness</t>
  </si>
  <si>
    <t>@nua_woman</t>
  </si>
  <si>
    <t>200K</t>
  </si>
  <si>
    <t>Memes, education, UGC mix</t>
  </si>
  <si>
    <t>BlissClub</t>
  </si>
  <si>
    <t>@getblissclub</t>
  </si>
  <si>
    <t>300K</t>
  </si>
  <si>
    <t>Community-first, UGC-heavy</t>
  </si>
  <si>
    <t>Juicy Chemistry</t>
  </si>
  <si>
    <t>Beauty &amp; Skincare</t>
  </si>
  <si>
    <t>@juicychemistry</t>
  </si>
  <si>
    <t>250K</t>
  </si>
  <si>
    <t>Ingredient-led, educational</t>
  </si>
  <si>
    <t>Jimmy's Cocktails</t>
  </si>
  <si>
    <t>Food &amp; Beverage</t>
  </si>
  <si>
    <t>@jimmyscocktails</t>
  </si>
  <si>
    <t>150K</t>
  </si>
  <si>
    <t>Witty, pop-culture humour</t>
  </si>
  <si>
    <t>Foxtale</t>
  </si>
  <si>
    <t>@foxtale.co</t>
  </si>
  <si>
    <t>Strong founder-voice posts</t>
  </si>
  <si>
    <t>Aachho</t>
  </si>
  <si>
    <t>@aachho</t>
  </si>
  <si>
    <t>915K</t>
  </si>
  <si>
    <t>High volume, visual-first ethnic fashion</t>
  </si>
  <si>
    <t>★★ Strong Fit</t>
  </si>
  <si>
    <t>Wakefit</t>
  </si>
  <si>
    <t>Home &amp; Lifestyle</t>
  </si>
  <si>
    <t>@wakefit.co</t>
  </si>
  <si>
    <t>400K</t>
  </si>
  <si>
    <t>Quirky humour-led content</t>
  </si>
  <si>
    <t>Karagiri</t>
  </si>
  <si>
    <t>@karagiri</t>
  </si>
  <si>
    <t>100K</t>
  </si>
  <si>
    <t>Trust-framing, Shark Tank credibility</t>
  </si>
  <si>
    <t>Levista Coffee</t>
  </si>
  <si>
    <t>@levistacoffee</t>
  </si>
  <si>
    <t>50K</t>
  </si>
  <si>
    <t>Nostalgia, storytelling campaigns</t>
  </si>
  <si>
    <t>Bunaai</t>
  </si>
  <si>
    <t>@bunaai</t>
  </si>
  <si>
    <t>1.3M</t>
  </si>
  <si>
    <t>Ethnic wear, highly visual</t>
  </si>
  <si>
    <t>Kalki Fashion</t>
  </si>
  <si>
    <t>@kalkifashion</t>
  </si>
  <si>
    <t>Bridal/occasion, high post frequency</t>
  </si>
  <si>
    <t>Indya</t>
  </si>
  <si>
    <t>@indya_india</t>
  </si>
  <si>
    <t>542K</t>
  </si>
  <si>
    <t>Fusion wear, festive campaigns</t>
  </si>
  <si>
    <t>Bewakoof</t>
  </si>
  <si>
    <t>@bewakoof</t>
  </si>
  <si>
    <t>Pop culture, humour-heavy</t>
  </si>
  <si>
    <t>SNITCH</t>
  </si>
  <si>
    <t>@snitch.co.in</t>
  </si>
  <si>
    <t>Men's fast fashion, Reels-first</t>
  </si>
  <si>
    <t>Rare Rabbit</t>
  </si>
  <si>
    <t>@rarerabbit.in</t>
  </si>
  <si>
    <t>479K</t>
  </si>
  <si>
    <t>Premium, minimalist content</t>
  </si>
  <si>
    <t>The Souled Store</t>
  </si>
  <si>
    <t>@thesouledstore</t>
  </si>
  <si>
    <t>500K</t>
  </si>
  <si>
    <t>Pop culture, viral meme content</t>
  </si>
  <si>
    <t>DaMENSCH</t>
  </si>
  <si>
    <t>@damensch</t>
  </si>
  <si>
    <t>Purpose-led, functional communication</t>
  </si>
  <si>
    <t>Bombay Shirt Company</t>
  </si>
  <si>
    <t>@bombayshirtcompany</t>
  </si>
  <si>
    <t>Behind-the-scenes, founder content</t>
  </si>
  <si>
    <t>Jaypore</t>
  </si>
  <si>
    <t>@jaypore</t>
  </si>
  <si>
    <t>508K</t>
  </si>
  <si>
    <t>Heritage artisan storytelling</t>
  </si>
  <si>
    <t>SUGAR Cosmetics</t>
  </si>
  <si>
    <t>@sugar.cosmetics</t>
  </si>
  <si>
    <t>2M+</t>
  </si>
  <si>
    <t>Campaign-led, aspirational branding</t>
  </si>
  <si>
    <t>Plum Goodness</t>
  </si>
  <si>
    <t>@plumgoodness</t>
  </si>
  <si>
    <t>Self-love campaigns, clean beauty</t>
  </si>
  <si>
    <t>mCaffeine</t>
  </si>
  <si>
    <t>@mcaffeine</t>
  </si>
  <si>
    <t>Bold, youth-targeted content</t>
  </si>
  <si>
    <t>Minimalist</t>
  </si>
  <si>
    <t>@beminimalist</t>
  </si>
  <si>
    <t>600K</t>
  </si>
  <si>
    <t>Ingredient-education-first, clinical</t>
  </si>
  <si>
    <t>Pilgrim</t>
  </si>
  <si>
    <t>@pilgrimbeauty</t>
  </si>
  <si>
    <t>Informational vs aspirational mix</t>
  </si>
  <si>
    <t>Bella Vita Organic</t>
  </si>
  <si>
    <t>@bellavitaorganic</t>
  </si>
  <si>
    <t>Ayurvedic positioning, natural beauty</t>
  </si>
  <si>
    <t>Bombay Shaving Company</t>
  </si>
  <si>
    <t>@bombayshavingcompany</t>
  </si>
  <si>
    <t>Dual-audience (men + women) strategy</t>
  </si>
  <si>
    <t>RAS Luxury Oils</t>
  </si>
  <si>
    <t>@rasluxuryoils</t>
  </si>
  <si>
    <t>Premium, low-volume high-quality content</t>
  </si>
  <si>
    <t>Just Herbs</t>
  </si>
  <si>
    <t>@justherbs</t>
  </si>
  <si>
    <t>Ayurvedic education-heavy posts</t>
  </si>
  <si>
    <t>Insight Cosmetics</t>
  </si>
  <si>
    <t>@insightcosmetics_india</t>
  </si>
  <si>
    <t>Budget beauty, viral Reels</t>
  </si>
  <si>
    <t>Sleepy Owl</t>
  </si>
  <si>
    <t>@sleepyowlcoffee</t>
  </si>
  <si>
    <t>Lifestyle, cold brew aesthetic</t>
  </si>
  <si>
    <t>Bira 91</t>
  </si>
  <si>
    <t>@bira91</t>
  </si>
  <si>
    <t>Humour and youth culture-led</t>
  </si>
  <si>
    <t>The Whole Truth</t>
  </si>
  <si>
    <t>@thewholetruthfoods</t>
  </si>
  <si>
    <t>350K</t>
  </si>
  <si>
    <t>Radical transparency, text-heavy contrarian</t>
  </si>
  <si>
    <t>Yoga Bar</t>
  </si>
  <si>
    <t>@yogabar_india</t>
  </si>
  <si>
    <t>Fitness lifestyle, community engagement</t>
  </si>
  <si>
    <t>Ghar Magic</t>
  </si>
  <si>
    <t>@gharmagicsoap</t>
  </si>
  <si>
    <t>Influencer Reels, viral small brand</t>
  </si>
  <si>
    <t>Rage Coffee</t>
  </si>
  <si>
    <t>@ragecoffee</t>
  </si>
  <si>
    <t>Bold challenger brand content</t>
  </si>
  <si>
    <t>Vahdam Teas</t>
  </si>
  <si>
    <t>@vahdamteas</t>
  </si>
  <si>
    <t>Heritage storytelling, premium positioning</t>
  </si>
  <si>
    <t>Wingreens Farms</t>
  </si>
  <si>
    <t>@wingreensfarms</t>
  </si>
  <si>
    <t>Community-first, UGC content</t>
  </si>
  <si>
    <t>Nestasia</t>
  </si>
  <si>
    <t>@nestasia</t>
  </si>
  <si>
    <t>Home décor, aspirational lifestyle</t>
  </si>
  <si>
    <t>The Label Life</t>
  </si>
  <si>
    <t>@thelabellife</t>
  </si>
  <si>
    <t>Aspirational, influencer collaborations</t>
  </si>
  <si>
    <t>Pepperfry</t>
  </si>
  <si>
    <t>@pepperfry</t>
  </si>
  <si>
    <t>High production, benchmark brand</t>
  </si>
  <si>
    <t>Wooden Street</t>
  </si>
  <si>
    <t>@woodenstreet</t>
  </si>
  <si>
    <t>Tutorial and transformation content</t>
  </si>
  <si>
    <t>Mokobara</t>
  </si>
  <si>
    <t>@mokobara</t>
  </si>
  <si>
    <t>Strong aesthetic, travel lifestyle</t>
  </si>
  <si>
    <t>Ferns N Petals</t>
  </si>
  <si>
    <t>@fernsandpetals</t>
  </si>
  <si>
    <t>Seasonal and occasion-led posts</t>
  </si>
  <si>
    <t>Amala Earth</t>
  </si>
  <si>
    <t>@amala.earth</t>
  </si>
  <si>
    <t>Eco-conscious, sustainable lifestyle</t>
  </si>
  <si>
    <t>Sirona</t>
  </si>
  <si>
    <t>@sironahygiene</t>
  </si>
  <si>
    <t>Taboo-breaking, advocacy content</t>
  </si>
  <si>
    <t>Boldfit</t>
  </si>
  <si>
    <t>@boldfit_india</t>
  </si>
  <si>
    <t>Motivational, transformation content</t>
  </si>
  <si>
    <t>Himalayan Organics</t>
  </si>
  <si>
    <t>@himalayan_organics</t>
  </si>
  <si>
    <t>Ingredient-trust, nutraceuticals</t>
  </si>
  <si>
    <t>AndME</t>
  </si>
  <si>
    <t>@and.me.india</t>
  </si>
  <si>
    <t>Women's health, multi-category wellness</t>
  </si>
  <si>
    <t>Hoop</t>
  </si>
  <si>
    <t>@hoop.health</t>
  </si>
  <si>
    <t>Pain relief, very small SME anchor brand</t>
  </si>
  <si>
    <t>Dimension</t>
  </si>
  <si>
    <t>Score</t>
  </si>
  <si>
    <t>Criteria</t>
  </si>
  <si>
    <t>Follower Size Score</t>
  </si>
  <si>
    <t>500K+ followers — high reach, large engagement pool</t>
  </si>
  <si>
    <t>200K–499K — mid-tier, good variation for regression</t>
  </si>
  <si>
    <t>100K–199K — smaller but viable SME scale</t>
  </si>
  <si>
    <t>50K–99K — true SME, limited data volume</t>
  </si>
  <si>
    <t>&lt;50K — very small, risk of sparse post data</t>
  </si>
  <si>
    <t>Content Variety Score</t>
  </si>
  <si>
    <t>Uses 4–5 content archetypes (education, humour, UGC, founder, campaign)</t>
  </si>
  <si>
    <t>Uses 3 archetypes — good variation for framing variable</t>
  </si>
  <si>
    <t>Uses 2 archetypes — moderate variation</t>
  </si>
  <si>
    <t>Primarily single style — limited variation</t>
  </si>
  <si>
    <t>Homogeneous content — low analytical value</t>
  </si>
  <si>
    <t>SME Fit Score</t>
  </si>
  <si>
    <t>Independent founder-led brand, &lt;500 employees, limited marketing budget</t>
  </si>
  <si>
    <t>SME with some VC funding but still resource-constrained</t>
  </si>
  <si>
    <t>VC-backed with moderate scale — borderline SME</t>
  </si>
  <si>
    <t>Scaled brand, close to large enterprise — weakens SME argument</t>
  </si>
  <si>
    <t>Large enterprise / not a true D2C SME</t>
  </si>
  <si>
    <t>Category Balance Score</t>
  </si>
  <si>
    <t>Underrepresented category in sample — adds diversity</t>
  </si>
  <si>
    <t>Adequately represented category</t>
  </si>
  <si>
    <t>Moderately overrepresented — still useful</t>
  </si>
  <si>
    <t>Overrepresented — marginal addition</t>
  </si>
  <si>
    <t>Highly redundant with existing brands in same niche</t>
  </si>
  <si>
    <t>Social Activity Score</t>
  </si>
  <si>
    <t>Posts 5+ times/week, active Stories, consistent Reels cadence</t>
  </si>
  <si>
    <t>Posts 3–4 times/week — active enough for analysis</t>
  </si>
  <si>
    <t>Posts 1–2 times/week — moderate activity</t>
  </si>
  <si>
    <t>Infrequent posting — sparse data risk</t>
  </si>
  <si>
    <t>Rarely active — may not yield sufficient data</t>
  </si>
  <si>
    <t>Total Score Tiers</t>
  </si>
  <si>
    <t>22–25</t>
  </si>
  <si>
    <t>★★★ Core Sample — Prioritise for primary dataset</t>
  </si>
  <si>
    <t>18–21</t>
  </si>
  <si>
    <t>★★ Strong Fit — Include in full sample</t>
  </si>
  <si>
    <t>10–17</t>
  </si>
  <si>
    <t>★ Supplementary — Use for robustness checks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</si>
</sst>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E0F7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2E0F7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5F5F5"/>
        <bgColor rgb="FFFFFFFF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6" borderId="8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FF2CC"/>
          <bgColor rgb="FFFFEB9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FF2CC"/>
          <bgColor rgb="FFFFEB9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CE4D6"/>
          <bgColor rgb="FFFFC7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2EFDA"/>
          <bgColor rgb="FFC6EF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2EFDA"/>
          <bgColor rgb="FFC6EF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CE4D6"/>
          <bgColor rgb="FFFFC7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CE4D6"/>
          <bgColor rgb="FFF2E0F7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CE4D6"/>
          <bgColor rgb="FFF2E0F7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E0F7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07A5C-A611-433D-A277-B93B91FBFA80}" name="Table1" displayName="Table1" ref="A1:M51" totalsRowShown="0" headerRowDxfId="15" headerRowBorderDxfId="14" tableBorderDxfId="13" totalsRowBorderDxfId="12">
  <autoFilter ref="A1:M51" xr:uid="{A1407A5C-A611-433D-A277-B93B91FBFA80}"/>
  <sortState xmlns:xlrd2="http://schemas.microsoft.com/office/spreadsheetml/2017/richdata2" ref="A2:M51">
    <sortCondition descending="1" ref="L1:L51"/>
  </sortState>
  <tableColumns count="13">
    <tableColumn id="1" xr3:uid="{0D9B5F1F-06D2-491B-9E7D-B7D2ECD0FD9C}" name="#" dataDxfId="11"/>
    <tableColumn id="2" xr3:uid="{0359C726-32F6-45F7-A8FA-34CCE39B2210}" name="Brand Name" dataDxfId="10"/>
    <tableColumn id="3" xr3:uid="{1E42CBC0-B2D6-4D85-B834-89EBC959B3A9}" name="Category" dataDxfId="9"/>
    <tableColumn id="4" xr3:uid="{1B71F282-D100-44D3-BC4F-D589461C73AA}" name="Instagram Handle" dataDxfId="8"/>
    <tableColumn id="5" xr3:uid="{AEDDC40D-1050-4E26-A3B6-16553463FE40}" name="~Followers" dataDxfId="7"/>
    <tableColumn id="6" xr3:uid="{C9B2BA61-E6B9-4264-B097-19350538D780}" name="Content Style" dataDxfId="6"/>
    <tableColumn id="7" xr3:uid="{5F089DB6-D077-4C62-A2A9-972FB4604A7F}" name="Follower Size_x000a_Score (1–5)" dataDxfId="5"/>
    <tableColumn id="8" xr3:uid="{83D5256B-D8F0-4D67-87C1-7B81713678AB}" name="Content Variety_x000a_Score (1–5)"/>
    <tableColumn id="9" xr3:uid="{BF988334-CE66-49E4-8290-BC169C63755B}" name="SME Fit_x000a_Score (1–5)" dataDxfId="4"/>
    <tableColumn id="10" xr3:uid="{BC58E8D9-8FC7-494F-9500-41207084E368}" name="Category Balance_x000a_Score (1–5)" dataDxfId="3"/>
    <tableColumn id="11" xr3:uid="{D81B7354-F29D-4051-A7B0-B935E7B1FB39}" name="Social Activity_x000a_Score (1–5)" dataDxfId="2"/>
    <tableColumn id="12" xr3:uid="{54E75A70-EF01-464B-B260-92546EA745BA}" name="Total Score_x000a_(/25)" dataDxfId="1">
      <calculatedColumnFormula>G2+H2+I2+J2+K2</calculatedColumnFormula>
    </tableColumn>
    <tableColumn id="13" xr3:uid="{9474C2A8-5D73-4235-B581-7389C8656249}" name="Relevance T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instagram.com/" TargetMode="External"/><Relationship Id="rId1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="115" zoomScaleNormal="115" workbookViewId="0">
      <pane ySplit="1" topLeftCell="A2" activePane="bottomLeft" state="frozen"/>
      <selection pane="bottomLeft" activeCell="F14" sqref="F14"/>
    </sheetView>
  </sheetViews>
  <sheetFormatPr defaultColWidth="8.7109375" defaultRowHeight="15" x14ac:dyDescent="0.25"/>
  <cols>
    <col min="1" max="1" width="4.140625" customWidth="1"/>
    <col min="2" max="2" width="22.5703125" bestFit="1" customWidth="1"/>
    <col min="3" max="3" width="15.7109375" bestFit="1" customWidth="1"/>
    <col min="4" max="4" width="22.7109375" bestFit="1" customWidth="1"/>
    <col min="5" max="5" width="13.140625" customWidth="1"/>
    <col min="6" max="6" width="35.140625" bestFit="1" customWidth="1"/>
    <col min="7" max="7" width="13.7109375" bestFit="1" customWidth="1"/>
    <col min="8" max="8" width="15.140625" bestFit="1" customWidth="1"/>
    <col min="9" max="9" width="11" bestFit="1" customWidth="1"/>
    <col min="10" max="10" width="17.42578125" bestFit="1" customWidth="1"/>
    <col min="11" max="11" width="14" bestFit="1" customWidth="1"/>
    <col min="12" max="12" width="11.42578125" bestFit="1" customWidth="1"/>
    <col min="13" max="13" width="22.7109375" customWidth="1"/>
  </cols>
  <sheetData>
    <row r="1" spans="1:15" ht="25.5" x14ac:dyDescent="0.2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0" t="s">
        <v>12</v>
      </c>
    </row>
    <row r="2" spans="1:15" x14ac:dyDescent="0.25">
      <c r="A2" s="15">
        <v>1</v>
      </c>
      <c r="B2" s="2" t="s">
        <v>13</v>
      </c>
      <c r="C2" s="2" t="s">
        <v>14</v>
      </c>
      <c r="D2" s="3" t="s">
        <v>15</v>
      </c>
      <c r="E2" s="1" t="s">
        <v>16</v>
      </c>
      <c r="F2" s="3" t="s">
        <v>17</v>
      </c>
      <c r="G2" s="4">
        <v>5</v>
      </c>
      <c r="H2" s="4">
        <v>5</v>
      </c>
      <c r="I2" s="4">
        <v>5</v>
      </c>
      <c r="J2" s="5">
        <v>4</v>
      </c>
      <c r="K2" s="4">
        <v>5</v>
      </c>
      <c r="L2" s="6">
        <f t="shared" ref="L2:L33" si="0">G2+H2+I2+J2+K2</f>
        <v>24</v>
      </c>
      <c r="M2" s="16" t="s">
        <v>18</v>
      </c>
      <c r="O2" s="29" t="str">
        <f>_xlfn.CONCAT("https://www.instagram.com/",_xlfn.TEXTSPLIT(Table1[[#This Row],[Instagram Handle]],"@"))</f>
        <v>https://www.instagram.com/suta_bombay</v>
      </c>
    </row>
    <row r="3" spans="1:15" x14ac:dyDescent="0.25">
      <c r="A3" s="15">
        <v>33</v>
      </c>
      <c r="B3" s="9" t="s">
        <v>132</v>
      </c>
      <c r="C3" s="9" t="s">
        <v>34</v>
      </c>
      <c r="D3" s="3" t="s">
        <v>133</v>
      </c>
      <c r="E3" s="1" t="s">
        <v>134</v>
      </c>
      <c r="F3" s="3" t="s">
        <v>135</v>
      </c>
      <c r="G3" s="5">
        <v>4</v>
      </c>
      <c r="H3" s="4">
        <v>5</v>
      </c>
      <c r="I3" s="4">
        <v>5</v>
      </c>
      <c r="J3" s="4">
        <v>5</v>
      </c>
      <c r="K3" s="4">
        <v>5</v>
      </c>
      <c r="L3" s="6">
        <f t="shared" si="0"/>
        <v>24</v>
      </c>
      <c r="M3" s="16" t="s">
        <v>18</v>
      </c>
      <c r="O3" s="29" t="str">
        <f>_xlfn.CONCAT("https://www.instagram.com/",_xlfn.TEXTSPLIT(Table1[[#This Row],[Instagram Handle]],"@"))</f>
        <v>https://www.instagram.com/thewholetruthfoods</v>
      </c>
    </row>
    <row r="4" spans="1:15" x14ac:dyDescent="0.25">
      <c r="A4" s="15">
        <v>22</v>
      </c>
      <c r="B4" s="8" t="s">
        <v>98</v>
      </c>
      <c r="C4" s="8" t="s">
        <v>29</v>
      </c>
      <c r="D4" s="3" t="s">
        <v>99</v>
      </c>
      <c r="E4" s="1" t="s">
        <v>82</v>
      </c>
      <c r="F4" s="3" t="s">
        <v>100</v>
      </c>
      <c r="G4" s="4">
        <v>5</v>
      </c>
      <c r="H4" s="5">
        <v>4</v>
      </c>
      <c r="I4" s="5">
        <v>4</v>
      </c>
      <c r="J4" s="4">
        <v>5</v>
      </c>
      <c r="K4" s="4">
        <v>5</v>
      </c>
      <c r="L4" s="6">
        <f t="shared" si="0"/>
        <v>23</v>
      </c>
      <c r="M4" s="16" t="s">
        <v>18</v>
      </c>
      <c r="O4" s="29" t="str">
        <f>_xlfn.CONCAT("https://www.instagram.com/",_xlfn.TEXTSPLIT(Table1[[#This Row],[Instagram Handle]],"@"))</f>
        <v>https://www.instagram.com/plumgoodness</v>
      </c>
    </row>
    <row r="5" spans="1:15" x14ac:dyDescent="0.25">
      <c r="A5" s="15">
        <v>17</v>
      </c>
      <c r="B5" s="2" t="s">
        <v>80</v>
      </c>
      <c r="C5" s="2" t="s">
        <v>14</v>
      </c>
      <c r="D5" s="3" t="s">
        <v>81</v>
      </c>
      <c r="E5" s="1" t="s">
        <v>82</v>
      </c>
      <c r="F5" s="3" t="s">
        <v>83</v>
      </c>
      <c r="G5" s="4">
        <v>5</v>
      </c>
      <c r="H5" s="4">
        <v>5</v>
      </c>
      <c r="I5" s="5">
        <v>4</v>
      </c>
      <c r="J5" s="5">
        <v>4</v>
      </c>
      <c r="K5" s="4">
        <v>5</v>
      </c>
      <c r="L5" s="6">
        <f t="shared" si="0"/>
        <v>23</v>
      </c>
      <c r="M5" s="16" t="s">
        <v>18</v>
      </c>
      <c r="O5" s="29" t="str">
        <f>_xlfn.CONCAT("https://www.instagram.com/",_xlfn.TEXTSPLIT(Table1[[#This Row],[Instagram Handle]],"@"))</f>
        <v>https://www.instagram.com/thesouledstore</v>
      </c>
    </row>
    <row r="6" spans="1:15" x14ac:dyDescent="0.25">
      <c r="A6" s="15">
        <v>2</v>
      </c>
      <c r="B6" s="7" t="s">
        <v>19</v>
      </c>
      <c r="C6" s="7" t="s">
        <v>20</v>
      </c>
      <c r="D6" s="3" t="s">
        <v>21</v>
      </c>
      <c r="E6" s="1" t="s">
        <v>22</v>
      </c>
      <c r="F6" s="3" t="s">
        <v>23</v>
      </c>
      <c r="G6" s="5">
        <v>4</v>
      </c>
      <c r="H6" s="4">
        <v>5</v>
      </c>
      <c r="I6" s="4">
        <v>5</v>
      </c>
      <c r="J6" s="4">
        <v>5</v>
      </c>
      <c r="K6" s="5">
        <v>4</v>
      </c>
      <c r="L6" s="6">
        <f t="shared" si="0"/>
        <v>23</v>
      </c>
      <c r="M6" s="16" t="s">
        <v>18</v>
      </c>
      <c r="O6" s="29" t="str">
        <f>_xlfn.CONCAT("https://www.instagram.com/",_xlfn.TEXTSPLIT(Table1[[#This Row],[Instagram Handle]],"@"))</f>
        <v>https://www.instagram.com/nua_woman</v>
      </c>
    </row>
    <row r="7" spans="1:15" x14ac:dyDescent="0.25">
      <c r="A7" s="15">
        <v>46</v>
      </c>
      <c r="B7" s="7" t="s">
        <v>172</v>
      </c>
      <c r="C7" s="7" t="s">
        <v>20</v>
      </c>
      <c r="D7" s="3" t="s">
        <v>173</v>
      </c>
      <c r="E7" s="1" t="s">
        <v>22</v>
      </c>
      <c r="F7" s="3" t="s">
        <v>174</v>
      </c>
      <c r="G7" s="5">
        <v>4</v>
      </c>
      <c r="H7" s="4">
        <v>5</v>
      </c>
      <c r="I7" s="4">
        <v>5</v>
      </c>
      <c r="J7" s="4">
        <v>5</v>
      </c>
      <c r="K7" s="5">
        <v>4</v>
      </c>
      <c r="L7" s="6">
        <f t="shared" si="0"/>
        <v>23</v>
      </c>
      <c r="M7" s="16" t="s">
        <v>18</v>
      </c>
      <c r="O7" s="29" t="str">
        <f>_xlfn.CONCAT("https://www.instagram.com/",_xlfn.TEXTSPLIT(Table1[[#This Row],[Instagram Handle]],"@"))</f>
        <v>https://www.instagram.com/sironahygiene</v>
      </c>
    </row>
    <row r="8" spans="1:15" x14ac:dyDescent="0.25">
      <c r="A8" s="15">
        <v>43</v>
      </c>
      <c r="B8" s="12" t="s">
        <v>163</v>
      </c>
      <c r="C8" s="12" t="s">
        <v>47</v>
      </c>
      <c r="D8" s="3" t="s">
        <v>164</v>
      </c>
      <c r="E8" s="1" t="s">
        <v>22</v>
      </c>
      <c r="F8" s="3" t="s">
        <v>165</v>
      </c>
      <c r="G8" s="5">
        <v>4</v>
      </c>
      <c r="H8" s="5">
        <v>4</v>
      </c>
      <c r="I8" s="4">
        <v>5</v>
      </c>
      <c r="J8" s="4">
        <v>5</v>
      </c>
      <c r="K8" s="4">
        <v>5</v>
      </c>
      <c r="L8" s="6">
        <f t="shared" si="0"/>
        <v>23</v>
      </c>
      <c r="M8" s="16" t="s">
        <v>18</v>
      </c>
      <c r="O8" s="29" t="str">
        <f>_xlfn.CONCAT("https://www.instagram.com/",_xlfn.TEXTSPLIT(Table1[[#This Row],[Instagram Handle]],"@"))</f>
        <v>https://www.instagram.com/mokobara</v>
      </c>
    </row>
    <row r="9" spans="1:15" x14ac:dyDescent="0.25">
      <c r="A9" s="15">
        <v>4</v>
      </c>
      <c r="B9" s="8" t="s">
        <v>28</v>
      </c>
      <c r="C9" s="8" t="s">
        <v>29</v>
      </c>
      <c r="D9" s="3" t="s">
        <v>30</v>
      </c>
      <c r="E9" s="1" t="s">
        <v>31</v>
      </c>
      <c r="F9" s="3" t="s">
        <v>32</v>
      </c>
      <c r="G9" s="5">
        <v>4</v>
      </c>
      <c r="H9" s="5">
        <v>4</v>
      </c>
      <c r="I9" s="4">
        <v>5</v>
      </c>
      <c r="J9" s="4">
        <v>5</v>
      </c>
      <c r="K9" s="5">
        <v>4</v>
      </c>
      <c r="L9" s="6">
        <f t="shared" si="0"/>
        <v>22</v>
      </c>
      <c r="M9" s="16" t="s">
        <v>18</v>
      </c>
      <c r="O9" s="29" t="str">
        <f>_xlfn.CONCAT("https://www.instagram.com/",_xlfn.TEXTSPLIT(Table1[[#This Row],[Instagram Handle]],"@"))</f>
        <v>https://www.instagram.com/juicychemistry</v>
      </c>
    </row>
    <row r="10" spans="1:15" x14ac:dyDescent="0.25">
      <c r="A10" s="15">
        <v>6</v>
      </c>
      <c r="B10" s="8" t="s">
        <v>38</v>
      </c>
      <c r="C10" s="8" t="s">
        <v>29</v>
      </c>
      <c r="D10" s="3" t="s">
        <v>39</v>
      </c>
      <c r="E10" s="1" t="s">
        <v>22</v>
      </c>
      <c r="F10" s="3" t="s">
        <v>40</v>
      </c>
      <c r="G10" s="5">
        <v>4</v>
      </c>
      <c r="H10" s="5">
        <v>4</v>
      </c>
      <c r="I10" s="4">
        <v>5</v>
      </c>
      <c r="J10" s="4">
        <v>5</v>
      </c>
      <c r="K10" s="5">
        <v>4</v>
      </c>
      <c r="L10" s="6">
        <f t="shared" si="0"/>
        <v>22</v>
      </c>
      <c r="M10" s="16" t="s">
        <v>18</v>
      </c>
      <c r="O10" s="29" t="str">
        <f>_xlfn.CONCAT("https://www.instagram.com/",_xlfn.TEXTSPLIT(Table1[[#This Row],[Instagram Handle]],"@"))</f>
        <v>https://www.instagram.com/foxtale.co</v>
      </c>
    </row>
    <row r="11" spans="1:15" x14ac:dyDescent="0.25">
      <c r="A11" s="15">
        <v>23</v>
      </c>
      <c r="B11" s="8" t="s">
        <v>101</v>
      </c>
      <c r="C11" s="8" t="s">
        <v>29</v>
      </c>
      <c r="D11" s="3" t="s">
        <v>102</v>
      </c>
      <c r="E11" s="1" t="s">
        <v>49</v>
      </c>
      <c r="F11" s="3" t="s">
        <v>103</v>
      </c>
      <c r="G11" s="5">
        <v>4</v>
      </c>
      <c r="H11" s="5">
        <v>4</v>
      </c>
      <c r="I11" s="5">
        <v>4</v>
      </c>
      <c r="J11" s="4">
        <v>5</v>
      </c>
      <c r="K11" s="4">
        <v>5</v>
      </c>
      <c r="L11" s="6">
        <f t="shared" si="0"/>
        <v>22</v>
      </c>
      <c r="M11" s="16" t="s">
        <v>18</v>
      </c>
      <c r="O11" s="29" t="str">
        <f>_xlfn.CONCAT("https://www.instagram.com/",_xlfn.TEXTSPLIT(Table1[[#This Row],[Instagram Handle]],"@"))</f>
        <v>https://www.instagram.com/mcaffeine</v>
      </c>
    </row>
    <row r="12" spans="1:15" x14ac:dyDescent="0.25">
      <c r="A12" s="15">
        <v>24</v>
      </c>
      <c r="B12" s="8" t="s">
        <v>104</v>
      </c>
      <c r="C12" s="8" t="s">
        <v>29</v>
      </c>
      <c r="D12" s="3" t="s">
        <v>105</v>
      </c>
      <c r="E12" s="1" t="s">
        <v>106</v>
      </c>
      <c r="F12" s="3" t="s">
        <v>107</v>
      </c>
      <c r="G12" s="4">
        <v>5</v>
      </c>
      <c r="H12" s="10">
        <v>3</v>
      </c>
      <c r="I12" s="5">
        <v>4</v>
      </c>
      <c r="J12" s="4">
        <v>5</v>
      </c>
      <c r="K12" s="4">
        <v>5</v>
      </c>
      <c r="L12" s="6">
        <f t="shared" si="0"/>
        <v>22</v>
      </c>
      <c r="M12" s="16" t="s">
        <v>18</v>
      </c>
      <c r="O12" s="29" t="str">
        <f>_xlfn.CONCAT("https://www.instagram.com/",_xlfn.TEXTSPLIT(Table1[[#This Row],[Instagram Handle]],"@"))</f>
        <v>https://www.instagram.com/beminimalist</v>
      </c>
    </row>
    <row r="13" spans="1:15" x14ac:dyDescent="0.25">
      <c r="A13" s="15">
        <v>27</v>
      </c>
      <c r="B13" s="8" t="s">
        <v>114</v>
      </c>
      <c r="C13" s="8" t="s">
        <v>29</v>
      </c>
      <c r="D13" s="3" t="s">
        <v>115</v>
      </c>
      <c r="E13" s="1" t="s">
        <v>26</v>
      </c>
      <c r="F13" s="3" t="s">
        <v>116</v>
      </c>
      <c r="G13" s="5">
        <v>4</v>
      </c>
      <c r="H13" s="4">
        <v>5</v>
      </c>
      <c r="I13" s="5">
        <v>4</v>
      </c>
      <c r="J13" s="4">
        <v>5</v>
      </c>
      <c r="K13" s="5">
        <v>4</v>
      </c>
      <c r="L13" s="6">
        <f t="shared" si="0"/>
        <v>22</v>
      </c>
      <c r="M13" s="16" t="s">
        <v>18</v>
      </c>
      <c r="O13" s="29" t="str">
        <f>_xlfn.CONCAT("https://www.instagram.com/",_xlfn.TEXTSPLIT(Table1[[#This Row],[Instagram Handle]],"@"))</f>
        <v>https://www.instagram.com/bombayshavingcompany</v>
      </c>
    </row>
    <row r="14" spans="1:15" x14ac:dyDescent="0.25">
      <c r="A14" s="15">
        <v>30</v>
      </c>
      <c r="B14" s="8" t="s">
        <v>123</v>
      </c>
      <c r="C14" s="8" t="s">
        <v>29</v>
      </c>
      <c r="D14" s="3" t="s">
        <v>124</v>
      </c>
      <c r="E14" s="1" t="s">
        <v>22</v>
      </c>
      <c r="F14" s="3" t="s">
        <v>125</v>
      </c>
      <c r="G14" s="5">
        <v>4</v>
      </c>
      <c r="H14" s="5">
        <v>4</v>
      </c>
      <c r="I14" s="4">
        <v>5</v>
      </c>
      <c r="J14" s="4">
        <v>5</v>
      </c>
      <c r="K14" s="5">
        <v>4</v>
      </c>
      <c r="L14" s="6">
        <f t="shared" si="0"/>
        <v>22</v>
      </c>
      <c r="M14" s="16" t="s">
        <v>18</v>
      </c>
      <c r="O14" s="29" t="str">
        <f>_xlfn.CONCAT("https://www.instagram.com/",_xlfn.TEXTSPLIT(Table1[[#This Row],[Instagram Handle]],"@"))</f>
        <v>https://www.instagram.com/insightcosmetics_india</v>
      </c>
    </row>
    <row r="15" spans="1:15" x14ac:dyDescent="0.25">
      <c r="A15" s="15">
        <v>3</v>
      </c>
      <c r="B15" s="2" t="s">
        <v>24</v>
      </c>
      <c r="C15" s="2" t="s">
        <v>14</v>
      </c>
      <c r="D15" s="3" t="s">
        <v>25</v>
      </c>
      <c r="E15" s="1" t="s">
        <v>26</v>
      </c>
      <c r="F15" s="3" t="s">
        <v>27</v>
      </c>
      <c r="G15" s="5">
        <v>4</v>
      </c>
      <c r="H15" s="4">
        <v>5</v>
      </c>
      <c r="I15" s="5">
        <v>4</v>
      </c>
      <c r="J15" s="5">
        <v>4</v>
      </c>
      <c r="K15" s="4">
        <v>5</v>
      </c>
      <c r="L15" s="6">
        <f t="shared" si="0"/>
        <v>22</v>
      </c>
      <c r="M15" s="16" t="s">
        <v>18</v>
      </c>
      <c r="O15" s="29" t="str">
        <f>_xlfn.CONCAT("https://www.instagram.com/",_xlfn.TEXTSPLIT(Table1[[#This Row],[Instagram Handle]],"@"))</f>
        <v>https://www.instagram.com/getblissclub</v>
      </c>
    </row>
    <row r="16" spans="1:15" x14ac:dyDescent="0.25">
      <c r="A16" s="15">
        <v>13</v>
      </c>
      <c r="B16" s="2" t="s">
        <v>66</v>
      </c>
      <c r="C16" s="2" t="s">
        <v>14</v>
      </c>
      <c r="D16" s="3" t="s">
        <v>67</v>
      </c>
      <c r="E16" s="1" t="s">
        <v>68</v>
      </c>
      <c r="F16" s="3" t="s">
        <v>69</v>
      </c>
      <c r="G16" s="4">
        <v>5</v>
      </c>
      <c r="H16" s="5">
        <v>4</v>
      </c>
      <c r="I16" s="5">
        <v>4</v>
      </c>
      <c r="J16" s="5">
        <v>4</v>
      </c>
      <c r="K16" s="4">
        <v>5</v>
      </c>
      <c r="L16" s="6">
        <f t="shared" si="0"/>
        <v>22</v>
      </c>
      <c r="M16" s="16" t="s">
        <v>18</v>
      </c>
      <c r="O16" s="29" t="str">
        <f>_xlfn.CONCAT("https://www.instagram.com/",_xlfn.TEXTSPLIT(Table1[[#This Row],[Instagram Handle]],"@"))</f>
        <v>https://www.instagram.com/indya_india</v>
      </c>
    </row>
    <row r="17" spans="1:15" x14ac:dyDescent="0.25">
      <c r="A17" s="15">
        <v>19</v>
      </c>
      <c r="B17" s="2" t="s">
        <v>87</v>
      </c>
      <c r="C17" s="2" t="s">
        <v>14</v>
      </c>
      <c r="D17" s="3" t="s">
        <v>88</v>
      </c>
      <c r="E17" s="1" t="s">
        <v>22</v>
      </c>
      <c r="F17" s="3" t="s">
        <v>89</v>
      </c>
      <c r="G17" s="5">
        <v>4</v>
      </c>
      <c r="H17" s="5">
        <v>4</v>
      </c>
      <c r="I17" s="4">
        <v>5</v>
      </c>
      <c r="J17" s="4">
        <v>5</v>
      </c>
      <c r="K17" s="5">
        <v>4</v>
      </c>
      <c r="L17" s="6">
        <f t="shared" si="0"/>
        <v>22</v>
      </c>
      <c r="M17" s="16" t="s">
        <v>18</v>
      </c>
      <c r="O17" s="29" t="str">
        <f>_xlfn.CONCAT("https://www.instagram.com/",_xlfn.TEXTSPLIT(Table1[[#This Row],[Instagram Handle]],"@"))</f>
        <v>https://www.instagram.com/bombayshirtcompany</v>
      </c>
    </row>
    <row r="18" spans="1:15" x14ac:dyDescent="0.25">
      <c r="A18" s="15">
        <v>5</v>
      </c>
      <c r="B18" s="9" t="s">
        <v>33</v>
      </c>
      <c r="C18" s="9" t="s">
        <v>34</v>
      </c>
      <c r="D18" s="3" t="s">
        <v>35</v>
      </c>
      <c r="E18" s="1" t="s">
        <v>36</v>
      </c>
      <c r="F18" s="3" t="s">
        <v>37</v>
      </c>
      <c r="G18" s="5">
        <v>4</v>
      </c>
      <c r="H18" s="5">
        <v>4</v>
      </c>
      <c r="I18" s="4">
        <v>5</v>
      </c>
      <c r="J18" s="4">
        <v>5</v>
      </c>
      <c r="K18" s="5">
        <v>4</v>
      </c>
      <c r="L18" s="6">
        <f t="shared" si="0"/>
        <v>22</v>
      </c>
      <c r="M18" s="16" t="s">
        <v>18</v>
      </c>
      <c r="O18" s="29" t="str">
        <f>_xlfn.CONCAT("https://www.instagram.com/",_xlfn.TEXTSPLIT(Table1[[#This Row],[Instagram Handle]],"@"))</f>
        <v>https://www.instagram.com/jimmyscocktails</v>
      </c>
    </row>
    <row r="19" spans="1:15" x14ac:dyDescent="0.25">
      <c r="A19" s="15">
        <v>31</v>
      </c>
      <c r="B19" s="9" t="s">
        <v>126</v>
      </c>
      <c r="C19" s="9" t="s">
        <v>34</v>
      </c>
      <c r="D19" s="3" t="s">
        <v>127</v>
      </c>
      <c r="E19" s="1" t="s">
        <v>22</v>
      </c>
      <c r="F19" s="3" t="s">
        <v>128</v>
      </c>
      <c r="G19" s="5">
        <v>4</v>
      </c>
      <c r="H19" s="5">
        <v>4</v>
      </c>
      <c r="I19" s="4">
        <v>5</v>
      </c>
      <c r="J19" s="4">
        <v>5</v>
      </c>
      <c r="K19" s="5">
        <v>4</v>
      </c>
      <c r="L19" s="6">
        <f t="shared" si="0"/>
        <v>22</v>
      </c>
      <c r="M19" s="16" t="s">
        <v>18</v>
      </c>
      <c r="O19" s="29" t="str">
        <f>_xlfn.CONCAT("https://www.instagram.com/",_xlfn.TEXTSPLIT(Table1[[#This Row],[Instagram Handle]],"@"))</f>
        <v>https://www.instagram.com/sleepyowlcoffee</v>
      </c>
    </row>
    <row r="20" spans="1:15" x14ac:dyDescent="0.25">
      <c r="A20" s="15">
        <v>32</v>
      </c>
      <c r="B20" s="9" t="s">
        <v>129</v>
      </c>
      <c r="C20" s="9" t="s">
        <v>34</v>
      </c>
      <c r="D20" s="3" t="s">
        <v>130</v>
      </c>
      <c r="E20" s="1" t="s">
        <v>82</v>
      </c>
      <c r="F20" s="3" t="s">
        <v>131</v>
      </c>
      <c r="G20" s="4">
        <v>5</v>
      </c>
      <c r="H20" s="5">
        <v>4</v>
      </c>
      <c r="I20" s="10">
        <v>3</v>
      </c>
      <c r="J20" s="4">
        <v>5</v>
      </c>
      <c r="K20" s="4">
        <v>5</v>
      </c>
      <c r="L20" s="6">
        <f t="shared" si="0"/>
        <v>22</v>
      </c>
      <c r="M20" s="16" t="s">
        <v>18</v>
      </c>
      <c r="O20" s="29" t="str">
        <f>_xlfn.CONCAT("https://www.instagram.com/",_xlfn.TEXTSPLIT(Table1[[#This Row],[Instagram Handle]],"@"))</f>
        <v>https://www.instagram.com/bira91</v>
      </c>
    </row>
    <row r="21" spans="1:15" x14ac:dyDescent="0.25">
      <c r="A21" s="15">
        <v>8</v>
      </c>
      <c r="B21" s="12" t="s">
        <v>46</v>
      </c>
      <c r="C21" s="12" t="s">
        <v>47</v>
      </c>
      <c r="D21" s="3" t="s">
        <v>48</v>
      </c>
      <c r="E21" s="1" t="s">
        <v>49</v>
      </c>
      <c r="F21" s="3" t="s">
        <v>50</v>
      </c>
      <c r="G21" s="5">
        <v>4</v>
      </c>
      <c r="H21" s="5">
        <v>4</v>
      </c>
      <c r="I21" s="5">
        <v>4</v>
      </c>
      <c r="J21" s="4">
        <v>5</v>
      </c>
      <c r="K21" s="4">
        <v>5</v>
      </c>
      <c r="L21" s="6">
        <f t="shared" si="0"/>
        <v>22</v>
      </c>
      <c r="M21" s="16" t="s">
        <v>18</v>
      </c>
      <c r="O21" s="29" t="str">
        <f>_xlfn.CONCAT("https://www.instagram.com/",_xlfn.TEXTSPLIT(Table1[[#This Row],[Instagram Handle]],"@"))</f>
        <v>https://www.instagram.com/wakefit.co</v>
      </c>
    </row>
    <row r="22" spans="1:15" x14ac:dyDescent="0.25">
      <c r="A22" s="15">
        <v>21</v>
      </c>
      <c r="B22" s="8" t="s">
        <v>94</v>
      </c>
      <c r="C22" s="8" t="s">
        <v>29</v>
      </c>
      <c r="D22" s="3" t="s">
        <v>95</v>
      </c>
      <c r="E22" s="1" t="s">
        <v>96</v>
      </c>
      <c r="F22" s="3" t="s">
        <v>97</v>
      </c>
      <c r="G22" s="4">
        <v>5</v>
      </c>
      <c r="H22" s="5">
        <v>4</v>
      </c>
      <c r="I22" s="10">
        <v>2</v>
      </c>
      <c r="J22" s="4">
        <v>5</v>
      </c>
      <c r="K22" s="4">
        <v>5</v>
      </c>
      <c r="L22" s="11">
        <f t="shared" si="0"/>
        <v>21</v>
      </c>
      <c r="M22" s="17" t="s">
        <v>45</v>
      </c>
    </row>
    <row r="23" spans="1:15" x14ac:dyDescent="0.25">
      <c r="A23" s="15">
        <v>25</v>
      </c>
      <c r="B23" s="8" t="s">
        <v>108</v>
      </c>
      <c r="C23" s="8" t="s">
        <v>29</v>
      </c>
      <c r="D23" s="3" t="s">
        <v>109</v>
      </c>
      <c r="E23" s="1" t="s">
        <v>31</v>
      </c>
      <c r="F23" s="3" t="s">
        <v>110</v>
      </c>
      <c r="G23" s="5">
        <v>4</v>
      </c>
      <c r="H23" s="5">
        <v>4</v>
      </c>
      <c r="I23" s="5">
        <v>4</v>
      </c>
      <c r="J23" s="4">
        <v>5</v>
      </c>
      <c r="K23" s="5">
        <v>4</v>
      </c>
      <c r="L23" s="11">
        <f t="shared" si="0"/>
        <v>21</v>
      </c>
      <c r="M23" s="17" t="s">
        <v>45</v>
      </c>
    </row>
    <row r="24" spans="1:15" x14ac:dyDescent="0.25">
      <c r="A24" s="15">
        <v>26</v>
      </c>
      <c r="B24" s="8" t="s">
        <v>111</v>
      </c>
      <c r="C24" s="8" t="s">
        <v>29</v>
      </c>
      <c r="D24" s="3" t="s">
        <v>112</v>
      </c>
      <c r="E24" s="1" t="s">
        <v>26</v>
      </c>
      <c r="F24" s="3" t="s">
        <v>113</v>
      </c>
      <c r="G24" s="5">
        <v>4</v>
      </c>
      <c r="H24" s="10">
        <v>3</v>
      </c>
      <c r="I24" s="4">
        <v>5</v>
      </c>
      <c r="J24" s="4">
        <v>5</v>
      </c>
      <c r="K24" s="5">
        <v>4</v>
      </c>
      <c r="L24" s="11">
        <f t="shared" si="0"/>
        <v>21</v>
      </c>
      <c r="M24" s="17" t="s">
        <v>45</v>
      </c>
    </row>
    <row r="25" spans="1:15" x14ac:dyDescent="0.25">
      <c r="A25" s="15">
        <v>7</v>
      </c>
      <c r="B25" s="2" t="s">
        <v>41</v>
      </c>
      <c r="C25" s="2" t="s">
        <v>14</v>
      </c>
      <c r="D25" s="3" t="s">
        <v>42</v>
      </c>
      <c r="E25" s="1" t="s">
        <v>43</v>
      </c>
      <c r="F25" s="3" t="s">
        <v>44</v>
      </c>
      <c r="G25" s="4">
        <v>5</v>
      </c>
      <c r="H25" s="10">
        <v>3</v>
      </c>
      <c r="I25" s="5">
        <v>4</v>
      </c>
      <c r="J25" s="5">
        <v>4</v>
      </c>
      <c r="K25" s="4">
        <v>5</v>
      </c>
      <c r="L25" s="11">
        <f t="shared" si="0"/>
        <v>21</v>
      </c>
      <c r="M25" s="17" t="s">
        <v>45</v>
      </c>
    </row>
    <row r="26" spans="1:15" x14ac:dyDescent="0.25">
      <c r="A26" s="15">
        <v>14</v>
      </c>
      <c r="B26" s="2" t="s">
        <v>70</v>
      </c>
      <c r="C26" s="2" t="s">
        <v>14</v>
      </c>
      <c r="D26" s="3" t="s">
        <v>71</v>
      </c>
      <c r="E26" s="1" t="s">
        <v>49</v>
      </c>
      <c r="F26" s="3" t="s">
        <v>72</v>
      </c>
      <c r="G26" s="5">
        <v>4</v>
      </c>
      <c r="H26" s="5">
        <v>4</v>
      </c>
      <c r="I26" s="5">
        <v>4</v>
      </c>
      <c r="J26" s="5">
        <v>4</v>
      </c>
      <c r="K26" s="4">
        <v>5</v>
      </c>
      <c r="L26" s="11">
        <f t="shared" si="0"/>
        <v>21</v>
      </c>
      <c r="M26" s="17" t="s">
        <v>45</v>
      </c>
    </row>
    <row r="27" spans="1:15" x14ac:dyDescent="0.25">
      <c r="A27" s="15">
        <v>15</v>
      </c>
      <c r="B27" s="2" t="s">
        <v>73</v>
      </c>
      <c r="C27" s="2" t="s">
        <v>14</v>
      </c>
      <c r="D27" s="3" t="s">
        <v>74</v>
      </c>
      <c r="E27" s="1" t="s">
        <v>26</v>
      </c>
      <c r="F27" s="3" t="s">
        <v>75</v>
      </c>
      <c r="G27" s="5">
        <v>4</v>
      </c>
      <c r="H27" s="5">
        <v>4</v>
      </c>
      <c r="I27" s="5">
        <v>4</v>
      </c>
      <c r="J27" s="5">
        <v>4</v>
      </c>
      <c r="K27" s="4">
        <v>5</v>
      </c>
      <c r="L27" s="11">
        <f t="shared" si="0"/>
        <v>21</v>
      </c>
      <c r="M27" s="17" t="s">
        <v>45</v>
      </c>
    </row>
    <row r="28" spans="1:15" x14ac:dyDescent="0.25">
      <c r="A28" s="15">
        <v>20</v>
      </c>
      <c r="B28" s="2" t="s">
        <v>90</v>
      </c>
      <c r="C28" s="2" t="s">
        <v>14</v>
      </c>
      <c r="D28" s="3" t="s">
        <v>91</v>
      </c>
      <c r="E28" s="1" t="s">
        <v>92</v>
      </c>
      <c r="F28" s="3" t="s">
        <v>93</v>
      </c>
      <c r="G28" s="4">
        <v>5</v>
      </c>
      <c r="H28" s="5">
        <v>4</v>
      </c>
      <c r="I28" s="5">
        <v>4</v>
      </c>
      <c r="J28" s="5">
        <v>4</v>
      </c>
      <c r="K28" s="5">
        <v>4</v>
      </c>
      <c r="L28" s="11">
        <f t="shared" si="0"/>
        <v>21</v>
      </c>
      <c r="M28" s="17" t="s">
        <v>45</v>
      </c>
    </row>
    <row r="29" spans="1:15" x14ac:dyDescent="0.25">
      <c r="A29" s="15">
        <v>34</v>
      </c>
      <c r="B29" s="9" t="s">
        <v>136</v>
      </c>
      <c r="C29" s="9" t="s">
        <v>34</v>
      </c>
      <c r="D29" s="3" t="s">
        <v>137</v>
      </c>
      <c r="E29" s="1" t="s">
        <v>26</v>
      </c>
      <c r="F29" s="3" t="s">
        <v>138</v>
      </c>
      <c r="G29" s="5">
        <v>4</v>
      </c>
      <c r="H29" s="5">
        <v>4</v>
      </c>
      <c r="I29" s="5">
        <v>4</v>
      </c>
      <c r="J29" s="4">
        <v>5</v>
      </c>
      <c r="K29" s="5">
        <v>4</v>
      </c>
      <c r="L29" s="11">
        <f t="shared" si="0"/>
        <v>21</v>
      </c>
      <c r="M29" s="17" t="s">
        <v>45</v>
      </c>
    </row>
    <row r="30" spans="1:15" x14ac:dyDescent="0.25">
      <c r="A30" s="15">
        <v>35</v>
      </c>
      <c r="B30" s="9" t="s">
        <v>139</v>
      </c>
      <c r="C30" s="9" t="s">
        <v>34</v>
      </c>
      <c r="D30" s="3" t="s">
        <v>140</v>
      </c>
      <c r="E30" s="1" t="s">
        <v>53</v>
      </c>
      <c r="F30" s="3" t="s">
        <v>141</v>
      </c>
      <c r="G30" s="10">
        <v>3</v>
      </c>
      <c r="H30" s="5">
        <v>4</v>
      </c>
      <c r="I30" s="4">
        <v>5</v>
      </c>
      <c r="J30" s="4">
        <v>5</v>
      </c>
      <c r="K30" s="5">
        <v>4</v>
      </c>
      <c r="L30" s="11">
        <f t="shared" si="0"/>
        <v>21</v>
      </c>
      <c r="M30" s="17" t="s">
        <v>45</v>
      </c>
    </row>
    <row r="31" spans="1:15" x14ac:dyDescent="0.25">
      <c r="A31" s="15">
        <v>36</v>
      </c>
      <c r="B31" s="9" t="s">
        <v>142</v>
      </c>
      <c r="C31" s="9" t="s">
        <v>34</v>
      </c>
      <c r="D31" s="3" t="s">
        <v>143</v>
      </c>
      <c r="E31" s="1" t="s">
        <v>36</v>
      </c>
      <c r="F31" s="3" t="s">
        <v>144</v>
      </c>
      <c r="G31" s="10">
        <v>3</v>
      </c>
      <c r="H31" s="5">
        <v>4</v>
      </c>
      <c r="I31" s="4">
        <v>5</v>
      </c>
      <c r="J31" s="4">
        <v>5</v>
      </c>
      <c r="K31" s="5">
        <v>4</v>
      </c>
      <c r="L31" s="11">
        <f t="shared" si="0"/>
        <v>21</v>
      </c>
      <c r="M31" s="17" t="s">
        <v>45</v>
      </c>
    </row>
    <row r="32" spans="1:15" x14ac:dyDescent="0.25">
      <c r="A32" s="15">
        <v>37</v>
      </c>
      <c r="B32" s="9" t="s">
        <v>145</v>
      </c>
      <c r="C32" s="9" t="s">
        <v>34</v>
      </c>
      <c r="D32" s="3" t="s">
        <v>146</v>
      </c>
      <c r="E32" s="1" t="s">
        <v>22</v>
      </c>
      <c r="F32" s="3" t="s">
        <v>147</v>
      </c>
      <c r="G32" s="5">
        <v>4</v>
      </c>
      <c r="H32" s="5">
        <v>4</v>
      </c>
      <c r="I32" s="5">
        <v>4</v>
      </c>
      <c r="J32" s="4">
        <v>5</v>
      </c>
      <c r="K32" s="5">
        <v>4</v>
      </c>
      <c r="L32" s="11">
        <f t="shared" si="0"/>
        <v>21</v>
      </c>
      <c r="M32" s="17" t="s">
        <v>45</v>
      </c>
    </row>
    <row r="33" spans="1:13" x14ac:dyDescent="0.25">
      <c r="A33" s="15">
        <v>47</v>
      </c>
      <c r="B33" s="7" t="s">
        <v>175</v>
      </c>
      <c r="C33" s="7" t="s">
        <v>20</v>
      </c>
      <c r="D33" s="3" t="s">
        <v>176</v>
      </c>
      <c r="E33" s="1" t="s">
        <v>26</v>
      </c>
      <c r="F33" s="3" t="s">
        <v>177</v>
      </c>
      <c r="G33" s="5">
        <v>4</v>
      </c>
      <c r="H33" s="5">
        <v>4</v>
      </c>
      <c r="I33" s="5">
        <v>4</v>
      </c>
      <c r="J33" s="4">
        <v>5</v>
      </c>
      <c r="K33" s="5">
        <v>4</v>
      </c>
      <c r="L33" s="11">
        <f t="shared" si="0"/>
        <v>21</v>
      </c>
      <c r="M33" s="17" t="s">
        <v>45</v>
      </c>
    </row>
    <row r="34" spans="1:13" x14ac:dyDescent="0.25">
      <c r="A34" s="15">
        <v>39</v>
      </c>
      <c r="B34" s="12" t="s">
        <v>151</v>
      </c>
      <c r="C34" s="12" t="s">
        <v>47</v>
      </c>
      <c r="D34" s="3" t="s">
        <v>152</v>
      </c>
      <c r="E34" s="1" t="s">
        <v>26</v>
      </c>
      <c r="F34" s="3" t="s">
        <v>153</v>
      </c>
      <c r="G34" s="5">
        <v>4</v>
      </c>
      <c r="H34" s="5">
        <v>4</v>
      </c>
      <c r="I34" s="5">
        <v>4</v>
      </c>
      <c r="J34" s="4">
        <v>5</v>
      </c>
      <c r="K34" s="5">
        <v>4</v>
      </c>
      <c r="L34" s="11">
        <f t="shared" ref="L34:L65" si="1">G34+H34+I34+J34+K34</f>
        <v>21</v>
      </c>
      <c r="M34" s="17" t="s">
        <v>45</v>
      </c>
    </row>
    <row r="35" spans="1:13" x14ac:dyDescent="0.25">
      <c r="A35" s="15">
        <v>45</v>
      </c>
      <c r="B35" s="12" t="s">
        <v>169</v>
      </c>
      <c r="C35" s="12" t="s">
        <v>47</v>
      </c>
      <c r="D35" s="3" t="s">
        <v>170</v>
      </c>
      <c r="E35" s="1" t="s">
        <v>36</v>
      </c>
      <c r="F35" s="3" t="s">
        <v>171</v>
      </c>
      <c r="G35" s="10">
        <v>3</v>
      </c>
      <c r="H35" s="5">
        <v>4</v>
      </c>
      <c r="I35" s="4">
        <v>5</v>
      </c>
      <c r="J35" s="4">
        <v>5</v>
      </c>
      <c r="K35" s="5">
        <v>4</v>
      </c>
      <c r="L35" s="11">
        <f t="shared" si="1"/>
        <v>21</v>
      </c>
      <c r="M35" s="17" t="s">
        <v>45</v>
      </c>
    </row>
    <row r="36" spans="1:13" x14ac:dyDescent="0.25">
      <c r="A36" s="15">
        <v>29</v>
      </c>
      <c r="B36" s="8" t="s">
        <v>120</v>
      </c>
      <c r="C36" s="8" t="s">
        <v>29</v>
      </c>
      <c r="D36" s="3" t="s">
        <v>121</v>
      </c>
      <c r="E36" s="1" t="s">
        <v>36</v>
      </c>
      <c r="F36" s="3" t="s">
        <v>122</v>
      </c>
      <c r="G36" s="10">
        <v>3</v>
      </c>
      <c r="H36" s="5">
        <v>4</v>
      </c>
      <c r="I36" s="4">
        <v>5</v>
      </c>
      <c r="J36" s="4">
        <v>5</v>
      </c>
      <c r="K36" s="10">
        <v>3</v>
      </c>
      <c r="L36" s="11">
        <f t="shared" si="1"/>
        <v>20</v>
      </c>
      <c r="M36" s="17" t="s">
        <v>45</v>
      </c>
    </row>
    <row r="37" spans="1:13" x14ac:dyDescent="0.25">
      <c r="A37" s="15">
        <v>11</v>
      </c>
      <c r="B37" s="2" t="s">
        <v>59</v>
      </c>
      <c r="C37" s="2" t="s">
        <v>14</v>
      </c>
      <c r="D37" s="3" t="s">
        <v>60</v>
      </c>
      <c r="E37" s="1" t="s">
        <v>61</v>
      </c>
      <c r="F37" s="3" t="s">
        <v>62</v>
      </c>
      <c r="G37" s="4">
        <v>5</v>
      </c>
      <c r="H37" s="10">
        <v>3</v>
      </c>
      <c r="I37" s="10">
        <v>3</v>
      </c>
      <c r="J37" s="5">
        <v>4</v>
      </c>
      <c r="K37" s="4">
        <v>5</v>
      </c>
      <c r="L37" s="11">
        <f t="shared" si="1"/>
        <v>20</v>
      </c>
      <c r="M37" s="17" t="s">
        <v>45</v>
      </c>
    </row>
    <row r="38" spans="1:13" x14ac:dyDescent="0.25">
      <c r="A38" s="15">
        <v>12</v>
      </c>
      <c r="B38" s="2" t="s">
        <v>63</v>
      </c>
      <c r="C38" s="2" t="s">
        <v>14</v>
      </c>
      <c r="D38" s="3" t="s">
        <v>64</v>
      </c>
      <c r="E38" s="1" t="s">
        <v>61</v>
      </c>
      <c r="F38" s="3" t="s">
        <v>65</v>
      </c>
      <c r="G38" s="4">
        <v>5</v>
      </c>
      <c r="H38" s="10">
        <v>3</v>
      </c>
      <c r="I38" s="10">
        <v>3</v>
      </c>
      <c r="J38" s="5">
        <v>4</v>
      </c>
      <c r="K38" s="4">
        <v>5</v>
      </c>
      <c r="L38" s="11">
        <f t="shared" si="1"/>
        <v>20</v>
      </c>
      <c r="M38" s="17" t="s">
        <v>45</v>
      </c>
    </row>
    <row r="39" spans="1:13" x14ac:dyDescent="0.25">
      <c r="A39" s="15">
        <v>16</v>
      </c>
      <c r="B39" s="2" t="s">
        <v>76</v>
      </c>
      <c r="C39" s="2" t="s">
        <v>14</v>
      </c>
      <c r="D39" s="3" t="s">
        <v>77</v>
      </c>
      <c r="E39" s="1" t="s">
        <v>78</v>
      </c>
      <c r="F39" s="3" t="s">
        <v>79</v>
      </c>
      <c r="G39" s="4">
        <v>5</v>
      </c>
      <c r="H39" s="10">
        <v>3</v>
      </c>
      <c r="I39" s="5">
        <v>4</v>
      </c>
      <c r="J39" s="5">
        <v>4</v>
      </c>
      <c r="K39" s="5">
        <v>4</v>
      </c>
      <c r="L39" s="11">
        <f t="shared" si="1"/>
        <v>20</v>
      </c>
      <c r="M39" s="17" t="s">
        <v>45</v>
      </c>
    </row>
    <row r="40" spans="1:13" x14ac:dyDescent="0.25">
      <c r="A40" s="15">
        <v>38</v>
      </c>
      <c r="B40" s="9" t="s">
        <v>148</v>
      </c>
      <c r="C40" s="9" t="s">
        <v>34</v>
      </c>
      <c r="D40" s="3" t="s">
        <v>149</v>
      </c>
      <c r="E40" s="1" t="s">
        <v>53</v>
      </c>
      <c r="F40" s="3" t="s">
        <v>150</v>
      </c>
      <c r="G40" s="10">
        <v>3</v>
      </c>
      <c r="H40" s="5">
        <v>4</v>
      </c>
      <c r="I40" s="4">
        <v>5</v>
      </c>
      <c r="J40" s="4">
        <v>5</v>
      </c>
      <c r="K40" s="10">
        <v>3</v>
      </c>
      <c r="L40" s="11">
        <f t="shared" si="1"/>
        <v>20</v>
      </c>
      <c r="M40" s="17" t="s">
        <v>45</v>
      </c>
    </row>
    <row r="41" spans="1:13" x14ac:dyDescent="0.25">
      <c r="A41" s="15">
        <v>49</v>
      </c>
      <c r="B41" s="7" t="s">
        <v>181</v>
      </c>
      <c r="C41" s="7" t="s">
        <v>20</v>
      </c>
      <c r="D41" s="3" t="s">
        <v>182</v>
      </c>
      <c r="E41" s="1" t="s">
        <v>53</v>
      </c>
      <c r="F41" s="3" t="s">
        <v>183</v>
      </c>
      <c r="G41" s="10">
        <v>3</v>
      </c>
      <c r="H41" s="5">
        <v>4</v>
      </c>
      <c r="I41" s="4">
        <v>5</v>
      </c>
      <c r="J41" s="4">
        <v>5</v>
      </c>
      <c r="K41" s="10">
        <v>3</v>
      </c>
      <c r="L41" s="11">
        <f t="shared" si="1"/>
        <v>20</v>
      </c>
      <c r="M41" s="17" t="s">
        <v>45</v>
      </c>
    </row>
    <row r="42" spans="1:13" x14ac:dyDescent="0.25">
      <c r="A42" s="15">
        <v>40</v>
      </c>
      <c r="B42" s="12" t="s">
        <v>154</v>
      </c>
      <c r="C42" s="12" t="s">
        <v>47</v>
      </c>
      <c r="D42" s="3" t="s">
        <v>155</v>
      </c>
      <c r="E42" s="1" t="s">
        <v>49</v>
      </c>
      <c r="F42" s="3" t="s">
        <v>156</v>
      </c>
      <c r="G42" s="5">
        <v>4</v>
      </c>
      <c r="H42" s="5">
        <v>4</v>
      </c>
      <c r="I42" s="10">
        <v>3</v>
      </c>
      <c r="J42" s="4">
        <v>5</v>
      </c>
      <c r="K42" s="5">
        <v>4</v>
      </c>
      <c r="L42" s="11">
        <f t="shared" si="1"/>
        <v>20</v>
      </c>
      <c r="M42" s="17" t="s">
        <v>45</v>
      </c>
    </row>
    <row r="43" spans="1:13" x14ac:dyDescent="0.25">
      <c r="A43" s="15">
        <v>42</v>
      </c>
      <c r="B43" s="12" t="s">
        <v>160</v>
      </c>
      <c r="C43" s="12" t="s">
        <v>47</v>
      </c>
      <c r="D43" s="3" t="s">
        <v>161</v>
      </c>
      <c r="E43" s="1" t="s">
        <v>36</v>
      </c>
      <c r="F43" s="3" t="s">
        <v>162</v>
      </c>
      <c r="G43" s="10">
        <v>3</v>
      </c>
      <c r="H43" s="5">
        <v>4</v>
      </c>
      <c r="I43" s="5">
        <v>4</v>
      </c>
      <c r="J43" s="4">
        <v>5</v>
      </c>
      <c r="K43" s="5">
        <v>4</v>
      </c>
      <c r="L43" s="11">
        <f t="shared" si="1"/>
        <v>20</v>
      </c>
      <c r="M43" s="17" t="s">
        <v>45</v>
      </c>
    </row>
    <row r="44" spans="1:13" x14ac:dyDescent="0.25">
      <c r="A44" s="15">
        <v>44</v>
      </c>
      <c r="B44" s="12" t="s">
        <v>166</v>
      </c>
      <c r="C44" s="12" t="s">
        <v>47</v>
      </c>
      <c r="D44" s="3" t="s">
        <v>167</v>
      </c>
      <c r="E44" s="1" t="s">
        <v>26</v>
      </c>
      <c r="F44" s="3" t="s">
        <v>168</v>
      </c>
      <c r="G44" s="5">
        <v>4</v>
      </c>
      <c r="H44" s="5">
        <v>4</v>
      </c>
      <c r="I44" s="10">
        <v>3</v>
      </c>
      <c r="J44" s="4">
        <v>5</v>
      </c>
      <c r="K44" s="5">
        <v>4</v>
      </c>
      <c r="L44" s="11">
        <f t="shared" si="1"/>
        <v>20</v>
      </c>
      <c r="M44" s="17" t="s">
        <v>45</v>
      </c>
    </row>
    <row r="45" spans="1:13" x14ac:dyDescent="0.25">
      <c r="A45" s="15">
        <v>28</v>
      </c>
      <c r="B45" s="8" t="s">
        <v>117</v>
      </c>
      <c r="C45" s="8" t="s">
        <v>29</v>
      </c>
      <c r="D45" s="3" t="s">
        <v>118</v>
      </c>
      <c r="E45" s="1" t="s">
        <v>53</v>
      </c>
      <c r="F45" s="3" t="s">
        <v>119</v>
      </c>
      <c r="G45" s="10">
        <v>3</v>
      </c>
      <c r="H45" s="10">
        <v>3</v>
      </c>
      <c r="I45" s="4">
        <v>5</v>
      </c>
      <c r="J45" s="4">
        <v>5</v>
      </c>
      <c r="K45" s="10">
        <v>3</v>
      </c>
      <c r="L45" s="11">
        <f t="shared" si="1"/>
        <v>19</v>
      </c>
      <c r="M45" s="17" t="s">
        <v>45</v>
      </c>
    </row>
    <row r="46" spans="1:13" x14ac:dyDescent="0.25">
      <c r="A46" s="15">
        <v>9</v>
      </c>
      <c r="B46" s="2" t="s">
        <v>51</v>
      </c>
      <c r="C46" s="2" t="s">
        <v>14</v>
      </c>
      <c r="D46" s="3" t="s">
        <v>52</v>
      </c>
      <c r="E46" s="1" t="s">
        <v>53</v>
      </c>
      <c r="F46" s="3" t="s">
        <v>54</v>
      </c>
      <c r="G46" s="10">
        <v>3</v>
      </c>
      <c r="H46" s="10">
        <v>3</v>
      </c>
      <c r="I46" s="4">
        <v>5</v>
      </c>
      <c r="J46" s="5">
        <v>4</v>
      </c>
      <c r="K46" s="5">
        <v>4</v>
      </c>
      <c r="L46" s="11">
        <f t="shared" si="1"/>
        <v>19</v>
      </c>
      <c r="M46" s="17" t="s">
        <v>45</v>
      </c>
    </row>
    <row r="47" spans="1:13" x14ac:dyDescent="0.25">
      <c r="A47" s="15">
        <v>18</v>
      </c>
      <c r="B47" s="2" t="s">
        <v>84</v>
      </c>
      <c r="C47" s="2" t="s">
        <v>14</v>
      </c>
      <c r="D47" s="3" t="s">
        <v>85</v>
      </c>
      <c r="E47" s="1" t="s">
        <v>36</v>
      </c>
      <c r="F47" s="3" t="s">
        <v>86</v>
      </c>
      <c r="G47" s="10">
        <v>3</v>
      </c>
      <c r="H47" s="10">
        <v>3</v>
      </c>
      <c r="I47" s="4">
        <v>5</v>
      </c>
      <c r="J47" s="5">
        <v>4</v>
      </c>
      <c r="K47" s="5">
        <v>4</v>
      </c>
      <c r="L47" s="11">
        <f t="shared" si="1"/>
        <v>19</v>
      </c>
      <c r="M47" s="17" t="s">
        <v>45</v>
      </c>
    </row>
    <row r="48" spans="1:13" x14ac:dyDescent="0.25">
      <c r="A48" s="15">
        <v>10</v>
      </c>
      <c r="B48" s="9" t="s">
        <v>55</v>
      </c>
      <c r="C48" s="9" t="s">
        <v>34</v>
      </c>
      <c r="D48" s="3" t="s">
        <v>56</v>
      </c>
      <c r="E48" s="1" t="s">
        <v>57</v>
      </c>
      <c r="F48" s="3" t="s">
        <v>58</v>
      </c>
      <c r="G48" s="10">
        <v>2</v>
      </c>
      <c r="H48" s="5">
        <v>4</v>
      </c>
      <c r="I48" s="4">
        <v>5</v>
      </c>
      <c r="J48" s="4">
        <v>5</v>
      </c>
      <c r="K48" s="10">
        <v>3</v>
      </c>
      <c r="L48" s="11">
        <f t="shared" si="1"/>
        <v>19</v>
      </c>
      <c r="M48" s="17" t="s">
        <v>45</v>
      </c>
    </row>
    <row r="49" spans="1:13" x14ac:dyDescent="0.25">
      <c r="A49" s="15">
        <v>48</v>
      </c>
      <c r="B49" s="7" t="s">
        <v>178</v>
      </c>
      <c r="C49" s="7" t="s">
        <v>20</v>
      </c>
      <c r="D49" s="3" t="s">
        <v>179</v>
      </c>
      <c r="E49" s="1" t="s">
        <v>53</v>
      </c>
      <c r="F49" s="3" t="s">
        <v>180</v>
      </c>
      <c r="G49" s="10">
        <v>3</v>
      </c>
      <c r="H49" s="10">
        <v>3</v>
      </c>
      <c r="I49" s="4">
        <v>5</v>
      </c>
      <c r="J49" s="4">
        <v>5</v>
      </c>
      <c r="K49" s="10">
        <v>3</v>
      </c>
      <c r="L49" s="11">
        <f t="shared" si="1"/>
        <v>19</v>
      </c>
      <c r="M49" s="17" t="s">
        <v>45</v>
      </c>
    </row>
    <row r="50" spans="1:13" x14ac:dyDescent="0.25">
      <c r="A50" s="15">
        <v>41</v>
      </c>
      <c r="B50" s="12" t="s">
        <v>157</v>
      </c>
      <c r="C50" s="12" t="s">
        <v>47</v>
      </c>
      <c r="D50" s="3" t="s">
        <v>158</v>
      </c>
      <c r="E50" s="1" t="s">
        <v>82</v>
      </c>
      <c r="F50" s="3" t="s">
        <v>159</v>
      </c>
      <c r="G50" s="4">
        <v>5</v>
      </c>
      <c r="H50" s="10">
        <v>3</v>
      </c>
      <c r="I50" s="10">
        <v>2</v>
      </c>
      <c r="J50" s="4">
        <v>5</v>
      </c>
      <c r="K50" s="5">
        <v>4</v>
      </c>
      <c r="L50" s="11">
        <f t="shared" si="1"/>
        <v>19</v>
      </c>
      <c r="M50" s="17" t="s">
        <v>45</v>
      </c>
    </row>
    <row r="51" spans="1:13" x14ac:dyDescent="0.25">
      <c r="A51" s="21">
        <v>50</v>
      </c>
      <c r="B51" s="22" t="s">
        <v>184</v>
      </c>
      <c r="C51" s="22" t="s">
        <v>20</v>
      </c>
      <c r="D51" s="23" t="s">
        <v>185</v>
      </c>
      <c r="E51" s="24" t="s">
        <v>57</v>
      </c>
      <c r="F51" s="23" t="s">
        <v>186</v>
      </c>
      <c r="G51" s="25">
        <v>2</v>
      </c>
      <c r="H51" s="25">
        <v>3</v>
      </c>
      <c r="I51" s="26">
        <v>5</v>
      </c>
      <c r="J51" s="26">
        <v>5</v>
      </c>
      <c r="K51" s="25">
        <v>3</v>
      </c>
      <c r="L51" s="27">
        <f t="shared" si="1"/>
        <v>18</v>
      </c>
      <c r="M51" s="28" t="s">
        <v>45</v>
      </c>
    </row>
  </sheetData>
  <hyperlinks>
    <hyperlink ref="O3:O21" r:id="rId1" display="https://www.instagram.com/" xr:uid="{779CCA88-EA69-483C-A814-1F70DB98C0F7}"/>
    <hyperlink ref="O2" r:id="rId2" display="https://www.instagram.com/" xr:uid="{B0E96E8D-022F-40C2-81C1-CD03FABFFAF0}"/>
  </hyperlinks>
  <pageMargins left="0.75" right="0.75" top="1" bottom="1" header="0.511811023622047" footer="0.511811023622047"/>
  <pageSetup paperSize="9" orientation="portrait" horizontalDpi="300" verticalDpi="300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10" customWidth="1"/>
    <col min="3" max="3" width="70" customWidth="1"/>
  </cols>
  <sheetData>
    <row r="1" spans="1:3" x14ac:dyDescent="0.25">
      <c r="A1" s="13" t="s">
        <v>187</v>
      </c>
      <c r="B1" s="13" t="s">
        <v>188</v>
      </c>
      <c r="C1" s="13" t="s">
        <v>189</v>
      </c>
    </row>
    <row r="2" spans="1:3" ht="19.5" customHeight="1" x14ac:dyDescent="0.25">
      <c r="A2" s="14" t="s">
        <v>190</v>
      </c>
      <c r="B2" s="14">
        <v>5</v>
      </c>
      <c r="C2" s="14" t="s">
        <v>191</v>
      </c>
    </row>
    <row r="3" spans="1:3" ht="19.5" customHeight="1" x14ac:dyDescent="0.25">
      <c r="A3" s="14" t="s">
        <v>190</v>
      </c>
      <c r="B3" s="14">
        <v>4</v>
      </c>
      <c r="C3" s="14" t="s">
        <v>192</v>
      </c>
    </row>
    <row r="4" spans="1:3" ht="19.5" customHeight="1" x14ac:dyDescent="0.25">
      <c r="A4" s="14" t="s">
        <v>190</v>
      </c>
      <c r="B4" s="14">
        <v>3</v>
      </c>
      <c r="C4" s="14" t="s">
        <v>193</v>
      </c>
    </row>
    <row r="5" spans="1:3" ht="19.5" customHeight="1" x14ac:dyDescent="0.25">
      <c r="A5" s="14" t="s">
        <v>190</v>
      </c>
      <c r="B5" s="14">
        <v>2</v>
      </c>
      <c r="C5" s="14" t="s">
        <v>194</v>
      </c>
    </row>
    <row r="6" spans="1:3" ht="19.5" customHeight="1" x14ac:dyDescent="0.25">
      <c r="A6" s="14" t="s">
        <v>190</v>
      </c>
      <c r="B6" s="14">
        <v>1</v>
      </c>
      <c r="C6" s="14" t="s">
        <v>195</v>
      </c>
    </row>
    <row r="7" spans="1:3" ht="19.5" customHeight="1" x14ac:dyDescent="0.25">
      <c r="A7" s="3"/>
      <c r="B7" s="3"/>
      <c r="C7" s="3"/>
    </row>
    <row r="8" spans="1:3" ht="19.5" customHeight="1" x14ac:dyDescent="0.25">
      <c r="A8" s="14" t="s">
        <v>196</v>
      </c>
      <c r="B8" s="14">
        <v>5</v>
      </c>
      <c r="C8" s="14" t="s">
        <v>197</v>
      </c>
    </row>
    <row r="9" spans="1:3" ht="19.5" customHeight="1" x14ac:dyDescent="0.25">
      <c r="A9" s="14" t="s">
        <v>196</v>
      </c>
      <c r="B9" s="14">
        <v>4</v>
      </c>
      <c r="C9" s="14" t="s">
        <v>198</v>
      </c>
    </row>
    <row r="10" spans="1:3" ht="19.5" customHeight="1" x14ac:dyDescent="0.25">
      <c r="A10" s="14" t="s">
        <v>196</v>
      </c>
      <c r="B10" s="14">
        <v>3</v>
      </c>
      <c r="C10" s="14" t="s">
        <v>199</v>
      </c>
    </row>
    <row r="11" spans="1:3" ht="19.5" customHeight="1" x14ac:dyDescent="0.25">
      <c r="A11" s="14" t="s">
        <v>196</v>
      </c>
      <c r="B11" s="14">
        <v>2</v>
      </c>
      <c r="C11" s="14" t="s">
        <v>200</v>
      </c>
    </row>
    <row r="12" spans="1:3" ht="19.5" customHeight="1" x14ac:dyDescent="0.25">
      <c r="A12" s="14" t="s">
        <v>196</v>
      </c>
      <c r="B12" s="14">
        <v>1</v>
      </c>
      <c r="C12" s="14" t="s">
        <v>201</v>
      </c>
    </row>
    <row r="13" spans="1:3" ht="19.5" customHeight="1" x14ac:dyDescent="0.25">
      <c r="A13" s="3"/>
      <c r="B13" s="3"/>
      <c r="C13" s="3"/>
    </row>
    <row r="14" spans="1:3" ht="19.5" customHeight="1" x14ac:dyDescent="0.25">
      <c r="A14" s="14" t="s">
        <v>202</v>
      </c>
      <c r="B14" s="14">
        <v>5</v>
      </c>
      <c r="C14" s="14" t="s">
        <v>203</v>
      </c>
    </row>
    <row r="15" spans="1:3" ht="19.5" customHeight="1" x14ac:dyDescent="0.25">
      <c r="A15" s="14" t="s">
        <v>202</v>
      </c>
      <c r="B15" s="14">
        <v>4</v>
      </c>
      <c r="C15" s="14" t="s">
        <v>204</v>
      </c>
    </row>
    <row r="16" spans="1:3" ht="19.5" customHeight="1" x14ac:dyDescent="0.25">
      <c r="A16" s="14" t="s">
        <v>202</v>
      </c>
      <c r="B16" s="14">
        <v>3</v>
      </c>
      <c r="C16" s="14" t="s">
        <v>205</v>
      </c>
    </row>
    <row r="17" spans="1:3" ht="19.5" customHeight="1" x14ac:dyDescent="0.25">
      <c r="A17" s="14" t="s">
        <v>202</v>
      </c>
      <c r="B17" s="14">
        <v>2</v>
      </c>
      <c r="C17" s="14" t="s">
        <v>206</v>
      </c>
    </row>
    <row r="18" spans="1:3" ht="19.5" customHeight="1" x14ac:dyDescent="0.25">
      <c r="A18" s="14" t="s">
        <v>202</v>
      </c>
      <c r="B18" s="14">
        <v>1</v>
      </c>
      <c r="C18" s="14" t="s">
        <v>207</v>
      </c>
    </row>
    <row r="19" spans="1:3" ht="19.5" customHeight="1" x14ac:dyDescent="0.25">
      <c r="A19" s="3"/>
      <c r="B19" s="3"/>
      <c r="C19" s="3"/>
    </row>
    <row r="20" spans="1:3" ht="19.5" customHeight="1" x14ac:dyDescent="0.25">
      <c r="A20" s="14" t="s">
        <v>208</v>
      </c>
      <c r="B20" s="14">
        <v>5</v>
      </c>
      <c r="C20" s="14" t="s">
        <v>209</v>
      </c>
    </row>
    <row r="21" spans="1:3" ht="19.5" customHeight="1" x14ac:dyDescent="0.25">
      <c r="A21" s="14" t="s">
        <v>208</v>
      </c>
      <c r="B21" s="14">
        <v>4</v>
      </c>
      <c r="C21" s="14" t="s">
        <v>210</v>
      </c>
    </row>
    <row r="22" spans="1:3" ht="19.5" customHeight="1" x14ac:dyDescent="0.25">
      <c r="A22" s="14" t="s">
        <v>208</v>
      </c>
      <c r="B22" s="14">
        <v>3</v>
      </c>
      <c r="C22" s="14" t="s">
        <v>211</v>
      </c>
    </row>
    <row r="23" spans="1:3" ht="19.5" customHeight="1" x14ac:dyDescent="0.25">
      <c r="A23" s="14" t="s">
        <v>208</v>
      </c>
      <c r="B23" s="14">
        <v>2</v>
      </c>
      <c r="C23" s="14" t="s">
        <v>212</v>
      </c>
    </row>
    <row r="24" spans="1:3" ht="19.5" customHeight="1" x14ac:dyDescent="0.25">
      <c r="A24" s="14" t="s">
        <v>208</v>
      </c>
      <c r="B24" s="14">
        <v>1</v>
      </c>
      <c r="C24" s="14" t="s">
        <v>213</v>
      </c>
    </row>
    <row r="25" spans="1:3" ht="19.5" customHeight="1" x14ac:dyDescent="0.25">
      <c r="A25" s="3"/>
      <c r="B25" s="3"/>
      <c r="C25" s="3"/>
    </row>
    <row r="26" spans="1:3" ht="19.5" customHeight="1" x14ac:dyDescent="0.25">
      <c r="A26" s="14" t="s">
        <v>214</v>
      </c>
      <c r="B26" s="14">
        <v>5</v>
      </c>
      <c r="C26" s="14" t="s">
        <v>215</v>
      </c>
    </row>
    <row r="27" spans="1:3" ht="19.5" customHeight="1" x14ac:dyDescent="0.25">
      <c r="A27" s="14" t="s">
        <v>214</v>
      </c>
      <c r="B27" s="14">
        <v>4</v>
      </c>
      <c r="C27" s="14" t="s">
        <v>216</v>
      </c>
    </row>
    <row r="28" spans="1:3" ht="19.5" customHeight="1" x14ac:dyDescent="0.25">
      <c r="A28" s="14" t="s">
        <v>214</v>
      </c>
      <c r="B28" s="14">
        <v>3</v>
      </c>
      <c r="C28" s="14" t="s">
        <v>217</v>
      </c>
    </row>
    <row r="29" spans="1:3" ht="19.5" customHeight="1" x14ac:dyDescent="0.25">
      <c r="A29" s="14" t="s">
        <v>214</v>
      </c>
      <c r="B29" s="14">
        <v>2</v>
      </c>
      <c r="C29" s="14" t="s">
        <v>218</v>
      </c>
    </row>
    <row r="30" spans="1:3" ht="19.5" customHeight="1" x14ac:dyDescent="0.25">
      <c r="A30" s="14" t="s">
        <v>214</v>
      </c>
      <c r="B30" s="14">
        <v>1</v>
      </c>
      <c r="C30" s="14" t="s">
        <v>219</v>
      </c>
    </row>
    <row r="31" spans="1:3" ht="19.5" customHeight="1" x14ac:dyDescent="0.25">
      <c r="A31" s="3"/>
      <c r="B31" s="3"/>
      <c r="C31" s="3"/>
    </row>
    <row r="32" spans="1:3" ht="19.5" customHeight="1" x14ac:dyDescent="0.25">
      <c r="A32" s="14" t="s">
        <v>220</v>
      </c>
      <c r="B32" s="14" t="s">
        <v>221</v>
      </c>
      <c r="C32" s="14" t="s">
        <v>222</v>
      </c>
    </row>
    <row r="33" spans="1:3" ht="19.5" customHeight="1" x14ac:dyDescent="0.25">
      <c r="A33" s="14" t="s">
        <v>220</v>
      </c>
      <c r="B33" s="14" t="s">
        <v>223</v>
      </c>
      <c r="C33" s="14" t="s">
        <v>224</v>
      </c>
    </row>
    <row r="34" spans="1:3" ht="19.5" customHeight="1" x14ac:dyDescent="0.25">
      <c r="A34" s="14" t="s">
        <v>220</v>
      </c>
      <c r="B34" s="14" t="s">
        <v>225</v>
      </c>
      <c r="C34" s="14" t="s">
        <v>226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 Sample</vt:lpstr>
      <vt:lpstr>Scoring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Pratyush Bharati</cp:lastModifiedBy>
  <cp:revision>0</cp:revision>
  <dcterms:created xsi:type="dcterms:W3CDTF">2026-02-15T18:20:35Z</dcterms:created>
  <dcterms:modified xsi:type="dcterms:W3CDTF">2026-02-18T18:27:16Z</dcterms:modified>
  <dc:language>en-US</dc:language>
</cp:coreProperties>
</file>